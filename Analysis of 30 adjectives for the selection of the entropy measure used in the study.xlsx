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\Desktop\"/>
    </mc:Choice>
  </mc:AlternateContent>
  <xr:revisionPtr revIDLastSave="0" documentId="13_ncr:1_{DCF40F32-A02A-4517-ABC9-D3503BAAB4AE}" xr6:coauthVersionLast="47" xr6:coauthVersionMax="47" xr10:uidLastSave="{00000000-0000-0000-0000-000000000000}"/>
  <bookViews>
    <workbookView xWindow="-120" yWindow="-120" windowWidth="20640" windowHeight="11040" tabRatio="500" xr2:uid="{00000000-000D-0000-FFFF-FFFF00000000}"/>
  </bookViews>
  <sheets>
    <sheet name="Table A - Type A" sheetId="1" r:id="rId1"/>
    <sheet name="Table B - Type B" sheetId="2" r:id="rId2"/>
    <sheet name="Table C - Discrimin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3" l="1"/>
  <c r="D5" i="3"/>
  <c r="D4" i="3"/>
  <c r="D20" i="2"/>
  <c r="C20" i="2"/>
  <c r="B20" i="2"/>
  <c r="D19" i="2"/>
  <c r="C19" i="2"/>
  <c r="B19" i="2"/>
  <c r="D20" i="1"/>
  <c r="C20" i="1"/>
  <c r="B20" i="1"/>
  <c r="D19" i="1"/>
  <c r="C19" i="1"/>
  <c r="B19" i="1"/>
</calcChain>
</file>

<file path=xl/sharedStrings.xml><?xml version="1.0" encoding="utf-8"?>
<sst xmlns="http://schemas.openxmlformats.org/spreadsheetml/2006/main" count="57" uniqueCount="49">
  <si>
    <t>Entropía media</t>
  </si>
  <si>
    <t>Entropía agregada</t>
  </si>
  <si>
    <t>JSD</t>
  </si>
  <si>
    <t>duro</t>
  </si>
  <si>
    <t>múltiple</t>
  </si>
  <si>
    <t>improbable</t>
  </si>
  <si>
    <t>inmediato</t>
  </si>
  <si>
    <t>lento</t>
  </si>
  <si>
    <t>rígido</t>
  </si>
  <si>
    <t>grande</t>
  </si>
  <si>
    <t>bajo</t>
  </si>
  <si>
    <t>estrecho</t>
  </si>
  <si>
    <t>caliente</t>
  </si>
  <si>
    <t>rápido</t>
  </si>
  <si>
    <t>moderno</t>
  </si>
  <si>
    <t>antiguo</t>
  </si>
  <si>
    <t>alto</t>
  </si>
  <si>
    <t>fuerte</t>
  </si>
  <si>
    <t>repugnante</t>
  </si>
  <si>
    <t>horrible</t>
  </si>
  <si>
    <t>estupendo</t>
  </si>
  <si>
    <t>genial</t>
  </si>
  <si>
    <t>maravilloso</t>
  </si>
  <si>
    <t>precioso</t>
  </si>
  <si>
    <t>terrible</t>
  </si>
  <si>
    <t>feo</t>
  </si>
  <si>
    <t>egoísta</t>
  </si>
  <si>
    <t>aburrido</t>
  </si>
  <si>
    <t>interesante</t>
  </si>
  <si>
    <t>generoso</t>
  </si>
  <si>
    <t>guapo</t>
  </si>
  <si>
    <t>bueno</t>
  </si>
  <si>
    <t>malo</t>
  </si>
  <si>
    <t>malo, bueno, guapo, generoso</t>
  </si>
  <si>
    <t>malo, bueno, guapo, generoso, interesante, aburrido, precioso</t>
  </si>
  <si>
    <t>Table A. Items manually classified as Type A (inferred polarity)</t>
  </si>
  <si>
    <t>Table B. Items manually classified as Type B (encoded polarity)</t>
  </si>
  <si>
    <t>Table C. Discriminative power of each measure (n = 30)</t>
  </si>
  <si>
    <t>Measure</t>
  </si>
  <si>
    <t>Optimal threshold</t>
  </si>
  <si>
    <t>Correctly classified</t>
  </si>
  <si>
    <t>% correct</t>
  </si>
  <si>
    <t>Misclassified items</t>
  </si>
  <si>
    <t>Nº items</t>
  </si>
  <si>
    <t>Lexical item</t>
  </si>
  <si>
    <t>Mean entropy</t>
  </si>
  <si>
    <t>Aggregate entropy</t>
  </si>
  <si>
    <t>Range [min, max]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</si>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</sst>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i/>
      <sz val="10"/>
      <name val="Arial"/>
      <charset val="1"/>
    </font>
    <font>
      <b/>
      <sz val="13"/>
      <color theme="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0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Normal="100" workbookViewId="0">
      <pane ySplit="4" topLeftCell="A5" activePane="bottomLeft" state="frozen"/>
      <selection pane="bottomLeft" activeCell="A24" sqref="A24"/>
    </sheetView>
  </sheetViews>
  <sheetFormatPr baseColWidth="10" defaultColWidth="8.7109375" defaultRowHeight="15" x14ac:dyDescent="0.25"/>
  <cols>
    <col min="1" max="1" width="22" customWidth="1"/>
    <col min="2" max="4" width="19" customWidth="1"/>
  </cols>
  <sheetData>
    <row r="1" spans="1:4" s="16" customFormat="1" ht="16.5" x14ac:dyDescent="0.25">
      <c r="A1" s="15" t="s">
        <v>35</v>
      </c>
    </row>
    <row r="2" spans="1:4" ht="30" customHeight="1" x14ac:dyDescent="0.25"/>
    <row r="3" spans="1:4" x14ac:dyDescent="0.25">
      <c r="A3" s="17" t="s">
        <v>44</v>
      </c>
      <c r="B3" s="17" t="s">
        <v>45</v>
      </c>
      <c r="C3" s="17" t="s">
        <v>46</v>
      </c>
      <c r="D3" s="1" t="s">
        <v>2</v>
      </c>
    </row>
    <row r="4" spans="1:4" ht="30" customHeight="1" x14ac:dyDescent="0.25">
      <c r="A4" s="2" t="s">
        <v>3</v>
      </c>
      <c r="B4" s="3">
        <v>0.54900000000000004</v>
      </c>
      <c r="C4" s="3">
        <v>0.93</v>
      </c>
      <c r="D4" s="3">
        <v>0.38</v>
      </c>
    </row>
    <row r="5" spans="1:4" x14ac:dyDescent="0.25">
      <c r="A5" s="2" t="s">
        <v>4</v>
      </c>
      <c r="B5" s="3">
        <v>0.55800000000000005</v>
      </c>
      <c r="C5" s="3">
        <v>0.747</v>
      </c>
      <c r="D5" s="3">
        <v>0.189</v>
      </c>
    </row>
    <row r="6" spans="1:4" x14ac:dyDescent="0.25">
      <c r="A6" s="2" t="s">
        <v>5</v>
      </c>
      <c r="B6" s="3">
        <v>0.58099999999999996</v>
      </c>
      <c r="C6" s="3">
        <v>0.77900000000000003</v>
      </c>
      <c r="D6" s="3">
        <v>0.19800000000000001</v>
      </c>
    </row>
    <row r="7" spans="1:4" x14ac:dyDescent="0.25">
      <c r="A7" s="2" t="s">
        <v>6</v>
      </c>
      <c r="B7" s="3">
        <v>0.58199999999999996</v>
      </c>
      <c r="C7" s="3">
        <v>0.78900000000000003</v>
      </c>
      <c r="D7" s="3">
        <v>0.20599999999999999</v>
      </c>
    </row>
    <row r="8" spans="1:4" x14ac:dyDescent="0.25">
      <c r="A8" s="2" t="s">
        <v>7</v>
      </c>
      <c r="B8" s="3">
        <v>0.58699999999999997</v>
      </c>
      <c r="C8" s="3">
        <v>0.86799999999999999</v>
      </c>
      <c r="D8" s="3">
        <v>0.28100000000000003</v>
      </c>
    </row>
    <row r="9" spans="1:4" x14ac:dyDescent="0.25">
      <c r="A9" s="2" t="s">
        <v>8</v>
      </c>
      <c r="B9" s="3">
        <v>0.59199999999999997</v>
      </c>
      <c r="C9" s="3">
        <v>0.86899999999999999</v>
      </c>
      <c r="D9" s="3">
        <v>0.27700000000000002</v>
      </c>
    </row>
    <row r="10" spans="1:4" x14ac:dyDescent="0.25">
      <c r="A10" s="2" t="s">
        <v>9</v>
      </c>
      <c r="B10" s="3">
        <v>0.59299999999999997</v>
      </c>
      <c r="C10" s="3">
        <v>0.95199999999999996</v>
      </c>
      <c r="D10" s="3">
        <v>0.35899999999999999</v>
      </c>
    </row>
    <row r="11" spans="1:4" x14ac:dyDescent="0.25">
      <c r="A11" s="2" t="s">
        <v>10</v>
      </c>
      <c r="B11" s="3">
        <v>0.59399999999999997</v>
      </c>
      <c r="C11" s="3">
        <v>0.872</v>
      </c>
      <c r="D11" s="3">
        <v>0.27800000000000002</v>
      </c>
    </row>
    <row r="12" spans="1:4" x14ac:dyDescent="0.25">
      <c r="A12" s="2" t="s">
        <v>11</v>
      </c>
      <c r="B12" s="3">
        <v>0.60499999999999998</v>
      </c>
      <c r="C12" s="3">
        <v>0.82299999999999995</v>
      </c>
      <c r="D12" s="3">
        <v>0.218</v>
      </c>
    </row>
    <row r="13" spans="1:4" x14ac:dyDescent="0.25">
      <c r="A13" s="2" t="s">
        <v>12</v>
      </c>
      <c r="B13" s="3">
        <v>0.60599999999999998</v>
      </c>
      <c r="C13" s="3">
        <v>0.81399999999999995</v>
      </c>
      <c r="D13" s="3">
        <v>0.20699999999999999</v>
      </c>
    </row>
    <row r="14" spans="1:4" x14ac:dyDescent="0.25">
      <c r="A14" s="2" t="s">
        <v>13</v>
      </c>
      <c r="B14" s="3">
        <v>0.61399999999999999</v>
      </c>
      <c r="C14" s="3">
        <v>0.85</v>
      </c>
      <c r="D14" s="3">
        <v>0.23699999999999999</v>
      </c>
    </row>
    <row r="15" spans="1:4" x14ac:dyDescent="0.25">
      <c r="A15" s="2" t="s">
        <v>14</v>
      </c>
      <c r="B15" s="3">
        <v>0.61399999999999999</v>
      </c>
      <c r="C15" s="3">
        <v>0.9</v>
      </c>
      <c r="D15" s="3">
        <v>0.28599999999999998</v>
      </c>
    </row>
    <row r="16" spans="1:4" x14ac:dyDescent="0.25">
      <c r="A16" s="2" t="s">
        <v>15</v>
      </c>
      <c r="B16" s="3">
        <v>0.61599999999999999</v>
      </c>
      <c r="C16" s="3">
        <v>0.83499999999999996</v>
      </c>
      <c r="D16" s="3">
        <v>0.219</v>
      </c>
    </row>
    <row r="17" spans="1:4" x14ac:dyDescent="0.25">
      <c r="A17" s="2" t="s">
        <v>16</v>
      </c>
      <c r="B17" s="3">
        <v>0.622</v>
      </c>
      <c r="C17" s="3">
        <v>0.93600000000000005</v>
      </c>
      <c r="D17" s="3">
        <v>0.314</v>
      </c>
    </row>
    <row r="18" spans="1:4" x14ac:dyDescent="0.25">
      <c r="A18" s="2" t="s">
        <v>17</v>
      </c>
      <c r="B18" s="3">
        <v>0.63</v>
      </c>
      <c r="C18" s="3">
        <v>0.98099999999999998</v>
      </c>
      <c r="D18" s="3">
        <v>0.35099999999999998</v>
      </c>
    </row>
    <row r="19" spans="1:4" x14ac:dyDescent="0.25">
      <c r="A19" s="18" t="s">
        <v>48</v>
      </c>
      <c r="B19" s="5">
        <f>AVERAGE(B4:B18)</f>
        <v>0.59619999999999995</v>
      </c>
      <c r="C19" s="5">
        <f>AVERAGE(C4:C18)</f>
        <v>0.86299999999999988</v>
      </c>
      <c r="D19" s="5">
        <f>AVERAGE(D4:D18)</f>
        <v>0.26666666666666666</v>
      </c>
    </row>
    <row r="20" spans="1:4" x14ac:dyDescent="0.25">
      <c r="A20" s="18" t="s">
        <v>47</v>
      </c>
      <c r="B20" s="6" t="str">
        <f>"["&amp;TEXT(MIN(B4:B18),"0.000")&amp;", "&amp;TEXT(MAX(B4:B18),"0.000")&amp;"]"</f>
        <v>[0.001, 0.001]</v>
      </c>
      <c r="C20" s="6" t="str">
        <f>"["&amp;TEXT(MIN(C4:C18),"0.000")&amp;", "&amp;TEXT(MAX(C4:C18),"0.000")&amp;"]"</f>
        <v>[0.001, 0.001]</v>
      </c>
      <c r="D20" s="6" t="str">
        <f>"["&amp;TEXT(MIN(D4:D18),"0.000")&amp;", "&amp;TEXT(MAX(D4:D18),"0.000")&amp;"]"</f>
        <v>[0.000, 0.000]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zoomScaleNormal="100" workbookViewId="0">
      <pane ySplit="4" topLeftCell="A5" activePane="bottomLeft" state="frozen"/>
      <selection pane="bottomLeft" activeCell="A27" sqref="A27"/>
    </sheetView>
  </sheetViews>
  <sheetFormatPr baseColWidth="10" defaultColWidth="8.7109375" defaultRowHeight="15" x14ac:dyDescent="0.25"/>
  <cols>
    <col min="1" max="1" width="22" customWidth="1"/>
    <col min="2" max="4" width="19" customWidth="1"/>
  </cols>
  <sheetData>
    <row r="1" spans="1:4" s="16" customFormat="1" ht="16.5" x14ac:dyDescent="0.25">
      <c r="A1" s="15" t="s">
        <v>36</v>
      </c>
    </row>
    <row r="2" spans="1:4" ht="30" customHeight="1" x14ac:dyDescent="0.25"/>
    <row r="3" spans="1:4" x14ac:dyDescent="0.25">
      <c r="A3" s="17" t="s">
        <v>44</v>
      </c>
      <c r="B3" s="17" t="s">
        <v>45</v>
      </c>
      <c r="C3" s="17" t="s">
        <v>46</v>
      </c>
      <c r="D3" s="1" t="s">
        <v>2</v>
      </c>
    </row>
    <row r="4" spans="1:4" ht="30" customHeight="1" x14ac:dyDescent="0.25">
      <c r="A4" s="2" t="s">
        <v>18</v>
      </c>
      <c r="B4" s="3">
        <v>0.25700000000000001</v>
      </c>
      <c r="C4" s="3">
        <v>0.28000000000000003</v>
      </c>
      <c r="D4" s="3">
        <v>2.3E-2</v>
      </c>
    </row>
    <row r="5" spans="1:4" x14ac:dyDescent="0.25">
      <c r="A5" s="2" t="s">
        <v>19</v>
      </c>
      <c r="B5" s="3">
        <v>0.29599999999999999</v>
      </c>
      <c r="C5" s="3">
        <v>0.375</v>
      </c>
      <c r="D5" s="3">
        <v>7.9000000000000001E-2</v>
      </c>
    </row>
    <row r="6" spans="1:4" x14ac:dyDescent="0.25">
      <c r="A6" s="2" t="s">
        <v>20</v>
      </c>
      <c r="B6" s="3">
        <v>0.33200000000000002</v>
      </c>
      <c r="C6" s="3">
        <v>0.51500000000000001</v>
      </c>
      <c r="D6" s="3">
        <v>0.183</v>
      </c>
    </row>
    <row r="7" spans="1:4" x14ac:dyDescent="0.25">
      <c r="A7" s="2" t="s">
        <v>21</v>
      </c>
      <c r="B7" s="3">
        <v>0.33800000000000002</v>
      </c>
      <c r="C7" s="3">
        <v>0.49199999999999999</v>
      </c>
      <c r="D7" s="3">
        <v>0.154</v>
      </c>
    </row>
    <row r="8" spans="1:4" x14ac:dyDescent="0.25">
      <c r="A8" s="2" t="s">
        <v>22</v>
      </c>
      <c r="B8" s="3">
        <v>0.33900000000000002</v>
      </c>
      <c r="C8" s="3">
        <v>0.49199999999999999</v>
      </c>
      <c r="D8" s="3">
        <v>0.153</v>
      </c>
    </row>
    <row r="9" spans="1:4" x14ac:dyDescent="0.25">
      <c r="A9" s="2" t="s">
        <v>23</v>
      </c>
      <c r="B9" s="3">
        <v>0.377</v>
      </c>
      <c r="C9" s="3">
        <v>0.627</v>
      </c>
      <c r="D9" s="3">
        <v>0.25</v>
      </c>
    </row>
    <row r="10" spans="1:4" x14ac:dyDescent="0.25">
      <c r="A10" s="2" t="s">
        <v>24</v>
      </c>
      <c r="B10" s="3">
        <v>0.40899999999999997</v>
      </c>
      <c r="C10" s="3">
        <v>0.54400000000000004</v>
      </c>
      <c r="D10" s="3">
        <v>0.13500000000000001</v>
      </c>
    </row>
    <row r="11" spans="1:4" x14ac:dyDescent="0.25">
      <c r="A11" s="2" t="s">
        <v>25</v>
      </c>
      <c r="B11" s="3">
        <v>0.40899999999999997</v>
      </c>
      <c r="C11" s="3">
        <v>0.59699999999999998</v>
      </c>
      <c r="D11" s="3">
        <v>0.188</v>
      </c>
    </row>
    <row r="12" spans="1:4" x14ac:dyDescent="0.25">
      <c r="A12" s="2" t="s">
        <v>26</v>
      </c>
      <c r="B12" s="3">
        <v>0.45200000000000001</v>
      </c>
      <c r="C12" s="3">
        <v>0.61699999999999999</v>
      </c>
      <c r="D12" s="3">
        <v>0.16500000000000001</v>
      </c>
    </row>
    <row r="13" spans="1:4" x14ac:dyDescent="0.25">
      <c r="A13" s="2" t="s">
        <v>27</v>
      </c>
      <c r="B13" s="3">
        <v>0.45300000000000001</v>
      </c>
      <c r="C13" s="3">
        <v>0.71299999999999997</v>
      </c>
      <c r="D13" s="3">
        <v>0.26</v>
      </c>
    </row>
    <row r="14" spans="1:4" x14ac:dyDescent="0.25">
      <c r="A14" s="2" t="s">
        <v>28</v>
      </c>
      <c r="B14" s="3">
        <v>0.48</v>
      </c>
      <c r="C14" s="3">
        <v>0.68100000000000005</v>
      </c>
      <c r="D14" s="3">
        <v>0.20100000000000001</v>
      </c>
    </row>
    <row r="15" spans="1:4" x14ac:dyDescent="0.25">
      <c r="A15" s="2" t="s">
        <v>29</v>
      </c>
      <c r="B15" s="3">
        <v>0.51100000000000001</v>
      </c>
      <c r="C15" s="3">
        <v>0.81299999999999994</v>
      </c>
      <c r="D15" s="3">
        <v>0.30199999999999999</v>
      </c>
    </row>
    <row r="16" spans="1:4" x14ac:dyDescent="0.25">
      <c r="A16" s="2" t="s">
        <v>30</v>
      </c>
      <c r="B16" s="3">
        <v>0.52400000000000002</v>
      </c>
      <c r="C16" s="3">
        <v>0.83399999999999996</v>
      </c>
      <c r="D16" s="3">
        <v>0.31</v>
      </c>
    </row>
    <row r="17" spans="1:4" x14ac:dyDescent="0.25">
      <c r="A17" s="2" t="s">
        <v>31</v>
      </c>
      <c r="B17" s="3">
        <v>0.52800000000000002</v>
      </c>
      <c r="C17" s="3">
        <v>0.90900000000000003</v>
      </c>
      <c r="D17" s="3">
        <v>0.38100000000000001</v>
      </c>
    </row>
    <row r="18" spans="1:4" x14ac:dyDescent="0.25">
      <c r="A18" s="2" t="s">
        <v>32</v>
      </c>
      <c r="B18" s="3">
        <v>0.56000000000000005</v>
      </c>
      <c r="C18" s="3">
        <v>0.81599999999999995</v>
      </c>
      <c r="D18" s="3">
        <v>0.25600000000000001</v>
      </c>
    </row>
    <row r="19" spans="1:4" x14ac:dyDescent="0.25">
      <c r="A19" s="18" t="s">
        <v>48</v>
      </c>
      <c r="B19" s="5">
        <f>AVERAGE(B4:B18)</f>
        <v>0.41766666666666669</v>
      </c>
      <c r="C19" s="5">
        <f>AVERAGE(C4:C18)</f>
        <v>0.62033333333333329</v>
      </c>
      <c r="D19" s="5">
        <f>AVERAGE(D4:D18)</f>
        <v>0.20266666666666666</v>
      </c>
    </row>
    <row r="20" spans="1:4" x14ac:dyDescent="0.25">
      <c r="A20" s="18" t="s">
        <v>47</v>
      </c>
      <c r="B20" s="6" t="str">
        <f>"["&amp;TEXT(MIN(B4:B18),"0.000")&amp;", "&amp;TEXT(MAX(B4:B18),"0.000")&amp;"]"</f>
        <v>[0.000, 0.001]</v>
      </c>
      <c r="C20" s="6" t="str">
        <f>"["&amp;TEXT(MIN(C4:C18),"0.000")&amp;", "&amp;TEXT(MAX(C4:C18),"0.000")&amp;"]"</f>
        <v>[0.000, 0.001]</v>
      </c>
      <c r="D20" s="6" t="str">
        <f>"["&amp;TEXT(MIN(D4:D18),"0.000")&amp;", "&amp;TEXT(MAX(D4:D18),"0.000")&amp;"]"</f>
        <v>[0.000, 0.000]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Normal="100" workbookViewId="0">
      <selection activeCell="E9" sqref="E9"/>
    </sheetView>
  </sheetViews>
  <sheetFormatPr baseColWidth="10" defaultColWidth="8.7109375" defaultRowHeight="15" x14ac:dyDescent="0.25"/>
  <cols>
    <col min="1" max="1" width="34" customWidth="1"/>
    <col min="2" max="2" width="13.85546875" customWidth="1"/>
    <col min="3" max="3" width="11" customWidth="1"/>
    <col min="4" max="4" width="12" customWidth="1"/>
    <col min="5" max="5" width="52" customWidth="1"/>
    <col min="6" max="6" width="10" customWidth="1"/>
  </cols>
  <sheetData>
    <row r="1" spans="1:6" s="16" customFormat="1" ht="16.5" x14ac:dyDescent="0.25">
      <c r="A1" s="15" t="s">
        <v>37</v>
      </c>
    </row>
    <row r="2" spans="1:6" ht="42" customHeight="1" x14ac:dyDescent="0.25"/>
    <row r="3" spans="1:6" ht="25.5" x14ac:dyDescent="0.25">
      <c r="A3" s="17" t="s">
        <v>38</v>
      </c>
      <c r="B3" s="17" t="s">
        <v>39</v>
      </c>
      <c r="C3" s="17" t="s">
        <v>40</v>
      </c>
      <c r="D3" s="17" t="s">
        <v>41</v>
      </c>
      <c r="E3" s="17" t="s">
        <v>42</v>
      </c>
      <c r="F3" s="17" t="s">
        <v>43</v>
      </c>
    </row>
    <row r="4" spans="1:6" ht="18.75" customHeight="1" x14ac:dyDescent="0.25">
      <c r="A4" s="4" t="s">
        <v>0</v>
      </c>
      <c r="B4" s="7">
        <v>0.53900000000000003</v>
      </c>
      <c r="C4" s="8">
        <v>29</v>
      </c>
      <c r="D4" s="9">
        <f>C4/$F$4</f>
        <v>0.96666666666666667</v>
      </c>
      <c r="E4" s="10" t="s">
        <v>32</v>
      </c>
      <c r="F4" s="8">
        <v>30</v>
      </c>
    </row>
    <row r="5" spans="1:6" x14ac:dyDescent="0.25">
      <c r="A5" s="11" t="s">
        <v>1</v>
      </c>
      <c r="B5" s="3">
        <v>0.73</v>
      </c>
      <c r="C5" s="12">
        <v>26</v>
      </c>
      <c r="D5" s="13">
        <f>C5/$F$4</f>
        <v>0.8666666666666667</v>
      </c>
      <c r="E5" s="14" t="s">
        <v>33</v>
      </c>
      <c r="F5" s="12"/>
    </row>
    <row r="6" spans="1:6" ht="25.5" x14ac:dyDescent="0.25">
      <c r="A6" s="11" t="s">
        <v>2</v>
      </c>
      <c r="B6" s="3">
        <v>0.188</v>
      </c>
      <c r="C6" s="12">
        <v>23</v>
      </c>
      <c r="D6" s="13">
        <f>C6/$F$4</f>
        <v>0.76666666666666672</v>
      </c>
      <c r="E6" s="14" t="s">
        <v>34</v>
      </c>
      <c r="F6" s="1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A - Type A</vt:lpstr>
      <vt:lpstr>Table B - Type B</vt:lpstr>
      <vt:lpstr>Table C - Discrimination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 Mir Neira</cp:lastModifiedBy>
  <cp:revision>0</cp:revision>
  <dcterms:created xsi:type="dcterms:W3CDTF">2026-07-27T11:19:00Z</dcterms:created>
  <dcterms:modified xsi:type="dcterms:W3CDTF">2026-07-27T12:03:48Z</dcterms:modified>
  <dc:language>en-US</dc:language>
</cp:coreProperties>
</file>